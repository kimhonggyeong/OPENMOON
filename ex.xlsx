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hk010\OneDrive\바탕 화면\"/>
    </mc:Choice>
  </mc:AlternateContent>
  <xr:revisionPtr revIDLastSave="0" documentId="13_ncr:1_{EBB71438-BB60-436C-9938-B10C2F72E98D}" xr6:coauthVersionLast="47" xr6:coauthVersionMax="47" xr10:uidLastSave="{00000000-0000-0000-0000-000000000000}"/>
  <bookViews>
    <workbookView xWindow="7320" yWindow="540" windowWidth="25980" windowHeight="13530" xr2:uid="{00000000-000D-0000-FFFF-FFFF00000000}"/>
  </bookViews>
  <sheets>
    <sheet name="Main_Sheet" sheetId="4" r:id="rId1"/>
  </sheets>
  <definedNames>
    <definedName name="_xlnm.Print_Area" localSheetId="0">Main_Sheet!$A$1:$K$24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4" l="1"/>
  <c r="G24" i="4" s="1"/>
  <c r="D10" i="4" s="1"/>
  <c r="I10" i="4" s="1"/>
</calcChain>
</file>

<file path=xl/sharedStrings.xml><?xml version="1.0" encoding="utf-8"?>
<sst xmlns="http://schemas.openxmlformats.org/spreadsheetml/2006/main" count="36" uniqueCount="36">
  <si>
    <t>견 적 서</t>
    <phoneticPr fontId="4" type="noConversion"/>
  </si>
  <si>
    <r>
      <rPr>
        <b/>
        <sz val="16"/>
        <color theme="1"/>
        <rFont val="맑은 고딕"/>
        <family val="3"/>
        <charset val="129"/>
        <scheme val="minor"/>
      </rPr>
      <t xml:space="preserve">공원관리과 </t>
    </r>
    <r>
      <rPr>
        <b/>
        <sz val="12"/>
        <color theme="1"/>
        <rFont val="맑은 고딕"/>
        <family val="3"/>
        <charset val="129"/>
        <scheme val="minor"/>
      </rPr>
      <t>귀하</t>
    </r>
    <phoneticPr fontId="4" type="noConversion"/>
  </si>
  <si>
    <t>수      신 :</t>
    <phoneticPr fontId="4" type="noConversion"/>
  </si>
  <si>
    <t>담당자 귀하</t>
    <phoneticPr fontId="4" type="noConversion"/>
  </si>
  <si>
    <t>상  호</t>
    <phoneticPr fontId="4" type="noConversion"/>
  </si>
  <si>
    <t>(주)열린문디자인</t>
    <phoneticPr fontId="4" type="noConversion"/>
  </si>
  <si>
    <t>견 적 일  :</t>
    <phoneticPr fontId="4" type="noConversion"/>
  </si>
  <si>
    <t>등록번호</t>
    <phoneticPr fontId="4" type="noConversion"/>
  </si>
  <si>
    <t>312-86-54704</t>
    <phoneticPr fontId="4" type="noConversion"/>
  </si>
  <si>
    <t>성명</t>
    <phoneticPr fontId="4" type="noConversion"/>
  </si>
  <si>
    <t>문정선</t>
    <phoneticPr fontId="3" type="noConversion"/>
  </si>
  <si>
    <t>납품장소 :</t>
    <phoneticPr fontId="4" type="noConversion"/>
  </si>
  <si>
    <t>지정장소</t>
    <phoneticPr fontId="4" type="noConversion"/>
  </si>
  <si>
    <t>주소</t>
    <phoneticPr fontId="4" type="noConversion"/>
  </si>
  <si>
    <t>충남 아산시 온천대로 1333번길 51
TEL. 041-548-5106</t>
    <phoneticPr fontId="4" type="noConversion"/>
  </si>
  <si>
    <t>결제조건 :</t>
    <phoneticPr fontId="4" type="noConversion"/>
  </si>
  <si>
    <t>현금 또는 카드결제</t>
    <phoneticPr fontId="4" type="noConversion"/>
  </si>
  <si>
    <t>유효기간 :</t>
    <phoneticPr fontId="4" type="noConversion"/>
  </si>
  <si>
    <t>견적일로부터</t>
    <phoneticPr fontId="4" type="noConversion"/>
  </si>
  <si>
    <t>업태</t>
    <phoneticPr fontId="3" type="noConversion"/>
  </si>
  <si>
    <t>서비스 / 제조</t>
    <phoneticPr fontId="3" type="noConversion"/>
  </si>
  <si>
    <t>종목</t>
    <phoneticPr fontId="3" type="noConversion"/>
  </si>
  <si>
    <t>편집,시각디자인</t>
    <phoneticPr fontId="3" type="noConversion"/>
  </si>
  <si>
    <t>공급금액 :</t>
    <phoneticPr fontId="4" type="noConversion"/>
  </si>
  <si>
    <t>원(VAT포함)</t>
    <phoneticPr fontId="13" type="noConversion"/>
  </si>
  <si>
    <t>아래와 같이 견적합니다.</t>
    <phoneticPr fontId="4" type="noConversion"/>
  </si>
  <si>
    <t>구 분</t>
    <phoneticPr fontId="4" type="noConversion"/>
  </si>
  <si>
    <t xml:space="preserve"> 품목 및  규격</t>
    <phoneticPr fontId="4" type="noConversion"/>
  </si>
  <si>
    <t>수 량</t>
    <phoneticPr fontId="4" type="noConversion"/>
  </si>
  <si>
    <t>단 가</t>
    <phoneticPr fontId="4" type="noConversion"/>
  </si>
  <si>
    <t>공 급 금 액</t>
    <phoneticPr fontId="4" type="noConversion"/>
  </si>
  <si>
    <t xml:space="preserve">공급 금액 </t>
    <phoneticPr fontId="4" type="noConversion"/>
  </si>
  <si>
    <r>
      <rPr>
        <b/>
        <sz val="16"/>
        <color theme="1"/>
        <rFont val="맑은 고딕"/>
        <family val="3"/>
        <charset val="129"/>
        <scheme val="minor"/>
      </rPr>
      <t>시트지</t>
    </r>
    <r>
      <rPr>
        <sz val="12"/>
        <color theme="1"/>
        <rFont val="맑은 고딕"/>
        <family val="3"/>
        <charset val="129"/>
        <scheme val="minor"/>
      </rPr>
      <t>(400*50,
흰색시트지+글자컷팅, 제거)</t>
    </r>
    <phoneticPr fontId="3" type="noConversion"/>
  </si>
  <si>
    <t>주문자 이름</t>
    <phoneticPr fontId="3" type="noConversion"/>
  </si>
  <si>
    <t>주문자 번호</t>
    <phoneticPr fontId="3" type="noConversion"/>
  </si>
  <si>
    <t>주문자 메일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</si>
</sst>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m&quot;월&quot;"/>
    <numFmt numFmtId="177" formatCode="[DBNum4][$-412]General"/>
    <numFmt numFmtId="178" formatCode="&quot;₩&quot;#,##0_);[Red]\(&quot;₩&quot;#,##0\)"/>
    <numFmt numFmtId="179" formatCode="m&quot;월&quot;\ d&quot;일&quot;;@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7" fillId="3" borderId="0" xfId="0" applyFont="1" applyFill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10" fillId="0" borderId="0" xfId="3">
      <alignment vertical="center"/>
    </xf>
    <xf numFmtId="0" fontId="8" fillId="0" borderId="5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11" fillId="4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1" fontId="15" fillId="0" borderId="0" xfId="1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76" fontId="0" fillId="3" borderId="7" xfId="0" applyNumberForma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left" vertical="center" indent="1"/>
    </xf>
    <xf numFmtId="0" fontId="9" fillId="0" borderId="8" xfId="0" applyFont="1" applyBorder="1" applyAlignment="1">
      <alignment horizontal="left" vertical="center" indent="1"/>
    </xf>
    <xf numFmtId="0" fontId="0" fillId="3" borderId="7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77" fontId="12" fillId="0" borderId="0" xfId="0" applyNumberFormat="1" applyFont="1" applyAlignment="1">
      <alignment horizontal="center" vertical="center" shrinkToFit="1"/>
    </xf>
    <xf numFmtId="0" fontId="12" fillId="0" borderId="0" xfId="0" applyFont="1" applyAlignment="1">
      <alignment horizontal="left" vertical="center"/>
    </xf>
    <xf numFmtId="178" fontId="14" fillId="0" borderId="0" xfId="2" applyNumberFormat="1" applyFont="1" applyBorder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1" fillId="4" borderId="5" xfId="0" applyFont="1" applyFill="1" applyBorder="1" applyAlignment="1">
      <alignment horizontal="center" vertical="center"/>
    </xf>
    <xf numFmtId="179" fontId="7" fillId="0" borderId="10" xfId="0" quotePrefix="1" applyNumberFormat="1" applyFont="1" applyBorder="1" applyAlignment="1">
      <alignment horizontal="center" vertical="center" wrapText="1"/>
    </xf>
    <xf numFmtId="179" fontId="7" fillId="0" borderId="0" xfId="0" applyNumberFormat="1" applyFont="1" applyAlignment="1">
      <alignment horizontal="center" vertical="center"/>
    </xf>
    <xf numFmtId="179" fontId="7" fillId="0" borderId="11" xfId="0" applyNumberFormat="1" applyFont="1" applyBorder="1" applyAlignment="1">
      <alignment horizontal="center" vertical="center"/>
    </xf>
    <xf numFmtId="41" fontId="9" fillId="0" borderId="10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41" fontId="16" fillId="0" borderId="10" xfId="1" applyFont="1" applyBorder="1" applyAlignment="1">
      <alignment horizontal="center" vertical="center"/>
    </xf>
    <xf numFmtId="41" fontId="16" fillId="0" borderId="0" xfId="1" applyFont="1" applyBorder="1" applyAlignment="1">
      <alignment horizontal="center" vertical="center"/>
    </xf>
    <xf numFmtId="41" fontId="16" fillId="0" borderId="11" xfId="1" applyFont="1" applyBorder="1" applyAlignment="1">
      <alignment horizontal="center" vertical="center"/>
    </xf>
    <xf numFmtId="179" fontId="9" fillId="0" borderId="10" xfId="0" quotePrefix="1" applyNumberFormat="1" applyFont="1" applyBorder="1" applyAlignment="1">
      <alignment horizontal="center" vertical="top" wrapText="1"/>
    </xf>
    <xf numFmtId="179" fontId="9" fillId="0" borderId="0" xfId="0" applyNumberFormat="1" applyFont="1" applyAlignment="1">
      <alignment horizontal="center" vertical="top"/>
    </xf>
    <xf numFmtId="179" fontId="9" fillId="0" borderId="11" xfId="0" applyNumberFormat="1" applyFont="1" applyBorder="1" applyAlignment="1">
      <alignment horizontal="center" vertical="top"/>
    </xf>
    <xf numFmtId="41" fontId="9" fillId="0" borderId="10" xfId="1" applyFont="1" applyFill="1" applyBorder="1" applyAlignment="1">
      <alignment horizontal="center" vertical="center"/>
    </xf>
    <xf numFmtId="41" fontId="9" fillId="0" borderId="11" xfId="1" applyFont="1" applyFill="1" applyBorder="1" applyAlignment="1">
      <alignment horizontal="center" vertical="center"/>
    </xf>
    <xf numFmtId="179" fontId="8" fillId="0" borderId="10" xfId="0" quotePrefix="1" applyNumberFormat="1" applyFont="1" applyBorder="1" applyAlignment="1">
      <alignment horizontal="center" vertical="top" wrapText="1"/>
    </xf>
    <xf numFmtId="179" fontId="8" fillId="0" borderId="0" xfId="0" applyNumberFormat="1" applyFont="1" applyAlignment="1">
      <alignment horizontal="center" vertical="top"/>
    </xf>
    <xf numFmtId="179" fontId="8" fillId="0" borderId="11" xfId="0" applyNumberFormat="1" applyFont="1" applyBorder="1" applyAlignment="1">
      <alignment horizontal="center" vertical="top"/>
    </xf>
    <xf numFmtId="41" fontId="9" fillId="0" borderId="9" xfId="1" applyFont="1" applyFill="1" applyBorder="1" applyAlignment="1">
      <alignment horizontal="center" vertical="center"/>
    </xf>
    <xf numFmtId="179" fontId="17" fillId="0" borderId="10" xfId="0" applyNumberFormat="1" applyFont="1" applyBorder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/>
    </xf>
    <xf numFmtId="179" fontId="6" fillId="0" borderId="11" xfId="0" applyNumberFormat="1" applyFont="1" applyBorder="1" applyAlignment="1">
      <alignment horizontal="center" vertical="center"/>
    </xf>
    <xf numFmtId="179" fontId="7" fillId="0" borderId="10" xfId="0" applyNumberFormat="1" applyFont="1" applyBorder="1" applyAlignment="1">
      <alignment horizontal="center" vertical="center" wrapText="1"/>
    </xf>
    <xf numFmtId="41" fontId="16" fillId="0" borderId="10" xfId="1" applyFont="1" applyFill="1" applyBorder="1" applyAlignment="1">
      <alignment horizontal="center" vertical="center"/>
    </xf>
    <xf numFmtId="41" fontId="16" fillId="0" borderId="11" xfId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indent="3"/>
    </xf>
    <xf numFmtId="41" fontId="1" fillId="0" borderId="10" xfId="1" applyFont="1" applyFill="1" applyBorder="1" applyAlignment="1">
      <alignment horizontal="center" vertical="center"/>
    </xf>
    <xf numFmtId="41" fontId="1" fillId="0" borderId="11" xfId="1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41" fontId="19" fillId="4" borderId="5" xfId="1" applyFont="1" applyFill="1" applyBorder="1" applyAlignment="1">
      <alignment horizontal="center" vertical="center"/>
    </xf>
  </cellXfs>
  <cellStyles count="4">
    <cellStyle name="쉼표 [0]" xfId="1" builtinId="6"/>
    <cellStyle name="통화 [0]" xfId="2" builtinId="7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600226</xdr:colOff>
      <xdr:row>2</xdr:row>
      <xdr:rowOff>108857</xdr:rowOff>
    </xdr:from>
    <xdr:ext cx="1871148" cy="367393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501" y="651782"/>
          <a:ext cx="1871148" cy="367393"/>
        </a:xfrm>
        <a:prstGeom prst="rect">
          <a:avLst/>
        </a:prstGeom>
      </xdr:spPr>
    </xdr:pic>
    <xdr:clientData/>
  </xdr:oneCellAnchor>
  <xdr:oneCellAnchor>
    <xdr:from>
      <xdr:col>9</xdr:col>
      <xdr:colOff>450397</xdr:colOff>
      <xdr:row>3</xdr:row>
      <xdr:rowOff>49695</xdr:rowOff>
    </xdr:from>
    <xdr:ext cx="1108983" cy="262352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1972" y="1145070"/>
          <a:ext cx="1108983" cy="262352"/>
        </a:xfrm>
        <a:prstGeom prst="rect">
          <a:avLst/>
        </a:prstGeom>
      </xdr:spPr>
    </xdr:pic>
    <xdr:clientData/>
  </xdr:oneCellAnchor>
  <xdr:oneCellAnchor>
    <xdr:from>
      <xdr:col>10</xdr:col>
      <xdr:colOff>163286</xdr:colOff>
      <xdr:row>3</xdr:row>
      <xdr:rowOff>176892</xdr:rowOff>
    </xdr:from>
    <xdr:ext cx="794237" cy="725742"/>
    <xdr:pic>
      <xdr:nvPicPr>
        <xdr:cNvPr id="5" name="그림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0661" y="1272267"/>
          <a:ext cx="794237" cy="725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9</xdr:col>
      <xdr:colOff>125015</xdr:colOff>
      <xdr:row>2</xdr:row>
      <xdr:rowOff>84890</xdr:rowOff>
    </xdr:from>
    <xdr:to>
      <xdr:col>10</xdr:col>
      <xdr:colOff>885314</xdr:colOff>
      <xdr:row>2</xdr:row>
      <xdr:rowOff>521808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B3D5673-8310-7D2C-63AE-29C1C21E1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2360" y="630114"/>
          <a:ext cx="1443471" cy="436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ell8636@korea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AB5DF-311C-4A4E-93D4-7C8636C1D4AE}">
  <dimension ref="A1:L26"/>
  <sheetViews>
    <sheetView tabSelected="1" zoomScale="145" zoomScaleNormal="145" workbookViewId="0">
      <selection activeCell="L3" sqref="L3"/>
    </sheetView>
  </sheetViews>
  <sheetFormatPr defaultRowHeight="16.5" x14ac:dyDescent="0.3"/>
  <cols>
    <col min="1" max="1" width="1.625" customWidth="1"/>
    <col min="2" max="2" width="5.625" style="19" customWidth="1"/>
    <col min="3" max="4" width="6.625" customWidth="1"/>
    <col min="5" max="5" width="20.875" customWidth="1"/>
    <col min="6" max="6" width="8.125" customWidth="1"/>
    <col min="7" max="7" width="9.625" customWidth="1"/>
    <col min="8" max="8" width="5.25" customWidth="1"/>
    <col min="9" max="9" width="8.5" customWidth="1"/>
    <col min="11" max="11" width="12.625" customWidth="1"/>
    <col min="12" max="12" width="15.625" customWidth="1"/>
  </cols>
  <sheetData>
    <row r="1" spans="1:12" ht="38.25" customHeight="1" thickBot="1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spans="1:12" ht="5.0999999999999996" customHeight="1" x14ac:dyDescent="0.3">
      <c r="A2" s="1"/>
      <c r="B2" s="2"/>
      <c r="C2" s="3"/>
      <c r="D2" s="3"/>
      <c r="E2" s="3"/>
      <c r="F2" s="3"/>
      <c r="G2" s="3"/>
      <c r="H2" s="3"/>
      <c r="I2" s="3"/>
      <c r="J2" s="3"/>
      <c r="K2" s="3"/>
    </row>
    <row r="3" spans="1:12" ht="43.5" customHeight="1" x14ac:dyDescent="0.3">
      <c r="A3" s="1"/>
      <c r="B3" s="26" t="s">
        <v>1</v>
      </c>
      <c r="C3" s="27"/>
      <c r="D3" s="27"/>
      <c r="E3" s="27"/>
      <c r="F3" s="4"/>
      <c r="G3" s="1"/>
      <c r="H3" s="1"/>
      <c r="I3" s="1"/>
      <c r="J3" s="1"/>
      <c r="K3" s="1"/>
    </row>
    <row r="4" spans="1:12" ht="28.5" customHeight="1" x14ac:dyDescent="0.3">
      <c r="A4" s="1"/>
      <c r="B4" s="28" t="s">
        <v>2</v>
      </c>
      <c r="C4" s="28"/>
      <c r="D4" s="29" t="s">
        <v>3</v>
      </c>
      <c r="E4" s="29"/>
      <c r="F4" s="1"/>
      <c r="G4" s="5" t="s">
        <v>4</v>
      </c>
      <c r="H4" s="30" t="s">
        <v>5</v>
      </c>
      <c r="I4" s="31"/>
      <c r="J4" s="31"/>
      <c r="K4" s="32"/>
    </row>
    <row r="5" spans="1:12" ht="23.1" customHeight="1" x14ac:dyDescent="0.3">
      <c r="A5" s="1"/>
      <c r="B5" s="21" t="s">
        <v>6</v>
      </c>
      <c r="C5" s="21"/>
      <c r="D5" s="22">
        <v>46082</v>
      </c>
      <c r="E5" s="22"/>
      <c r="F5" s="1"/>
      <c r="G5" s="5" t="s">
        <v>7</v>
      </c>
      <c r="H5" s="6" t="s">
        <v>8</v>
      </c>
      <c r="I5" s="6"/>
      <c r="J5" s="5" t="s">
        <v>9</v>
      </c>
      <c r="K5" s="6" t="s">
        <v>10</v>
      </c>
      <c r="L5" s="7" t="s">
        <v>33</v>
      </c>
    </row>
    <row r="6" spans="1:12" ht="21.75" customHeight="1" x14ac:dyDescent="0.3">
      <c r="A6" s="1"/>
      <c r="B6" s="21" t="s">
        <v>11</v>
      </c>
      <c r="C6" s="21"/>
      <c r="D6" s="33" t="s">
        <v>12</v>
      </c>
      <c r="E6" s="33"/>
      <c r="F6" s="1"/>
      <c r="G6" s="34" t="s">
        <v>13</v>
      </c>
      <c r="H6" s="36" t="s">
        <v>14</v>
      </c>
      <c r="I6" s="35"/>
      <c r="J6" s="35"/>
      <c r="K6" s="35"/>
      <c r="L6" t="s">
        <v>34</v>
      </c>
    </row>
    <row r="7" spans="1:12" ht="21.75" customHeight="1" x14ac:dyDescent="0.3">
      <c r="A7" s="1"/>
      <c r="B7" s="21" t="s">
        <v>15</v>
      </c>
      <c r="C7" s="21"/>
      <c r="D7" s="33" t="s">
        <v>16</v>
      </c>
      <c r="E7" s="33"/>
      <c r="F7" s="1"/>
      <c r="G7" s="35"/>
      <c r="H7" s="35"/>
      <c r="I7" s="35"/>
      <c r="J7" s="35"/>
      <c r="K7" s="35"/>
      <c r="L7" s="8" t="s">
        <v>35</v>
      </c>
    </row>
    <row r="8" spans="1:12" ht="23.1" customHeight="1" x14ac:dyDescent="0.3">
      <c r="A8" s="1"/>
      <c r="B8" s="21" t="s">
        <v>17</v>
      </c>
      <c r="C8" s="21"/>
      <c r="D8" s="33" t="s">
        <v>18</v>
      </c>
      <c r="E8" s="33"/>
      <c r="F8" s="1"/>
      <c r="G8" s="5" t="s">
        <v>19</v>
      </c>
      <c r="H8" s="37" t="s">
        <v>20</v>
      </c>
      <c r="I8" s="38"/>
      <c r="J8" s="5" t="s">
        <v>21</v>
      </c>
      <c r="K8" s="9" t="s">
        <v>22</v>
      </c>
    </row>
    <row r="9" spans="1:12" ht="14.25" customHeight="1" x14ac:dyDescent="0.3">
      <c r="A9" s="1"/>
      <c r="B9" s="10"/>
      <c r="C9" s="10"/>
      <c r="D9" s="11"/>
      <c r="E9" s="11"/>
      <c r="F9" s="1"/>
      <c r="G9" s="10"/>
      <c r="H9" s="1"/>
      <c r="I9" s="11"/>
      <c r="J9" s="11"/>
      <c r="K9" s="11"/>
    </row>
    <row r="10" spans="1:12" ht="18.75" customHeight="1" x14ac:dyDescent="0.3">
      <c r="A10" s="1"/>
      <c r="B10" s="39" t="s">
        <v>23</v>
      </c>
      <c r="C10" s="39"/>
      <c r="D10" s="40">
        <f>G24</f>
        <v>66000</v>
      </c>
      <c r="E10" s="40"/>
      <c r="F10" s="41" t="s">
        <v>24</v>
      </c>
      <c r="G10" s="41"/>
      <c r="H10" s="41"/>
      <c r="I10" s="42">
        <f>D10</f>
        <v>66000</v>
      </c>
      <c r="J10" s="42"/>
      <c r="K10" s="42"/>
    </row>
    <row r="11" spans="1:12" ht="5.0999999999999996" customHeight="1" x14ac:dyDescent="0.3">
      <c r="A11" s="1"/>
      <c r="B11" s="2"/>
      <c r="C11" s="2"/>
      <c r="D11" s="2"/>
      <c r="E11" s="3"/>
      <c r="F11" s="3"/>
      <c r="G11" s="3"/>
      <c r="H11" s="3"/>
      <c r="I11" s="3"/>
      <c r="J11" s="3"/>
      <c r="K11" s="3"/>
    </row>
    <row r="12" spans="1:12" ht="21.75" customHeight="1" x14ac:dyDescent="0.3">
      <c r="A12" s="1"/>
      <c r="B12" s="43" t="s">
        <v>25</v>
      </c>
      <c r="C12" s="43"/>
      <c r="D12" s="43"/>
      <c r="E12" s="43"/>
      <c r="F12" s="43"/>
      <c r="G12" s="43"/>
      <c r="H12" s="43"/>
      <c r="I12" s="43"/>
      <c r="J12" s="43"/>
      <c r="K12" s="43"/>
    </row>
    <row r="13" spans="1:12" ht="24" customHeight="1" x14ac:dyDescent="0.3">
      <c r="A13" s="1"/>
      <c r="B13" s="12" t="s">
        <v>26</v>
      </c>
      <c r="C13" s="44" t="s">
        <v>27</v>
      </c>
      <c r="D13" s="44"/>
      <c r="E13" s="44"/>
      <c r="F13" s="12" t="s">
        <v>28</v>
      </c>
      <c r="G13" s="44" t="s">
        <v>29</v>
      </c>
      <c r="H13" s="44"/>
      <c r="I13" s="44" t="s">
        <v>30</v>
      </c>
      <c r="J13" s="44"/>
      <c r="K13" s="44"/>
      <c r="L13" s="13"/>
    </row>
    <row r="14" spans="1:12" ht="60" customHeight="1" x14ac:dyDescent="0.3">
      <c r="A14" s="1"/>
      <c r="B14" s="14">
        <v>1</v>
      </c>
      <c r="C14" s="45" t="s">
        <v>32</v>
      </c>
      <c r="D14" s="46"/>
      <c r="E14" s="47"/>
      <c r="F14" s="15">
        <v>2</v>
      </c>
      <c r="G14" s="48">
        <v>33000</v>
      </c>
      <c r="H14" s="49"/>
      <c r="I14" s="50">
        <f>+G14*F14</f>
        <v>66000</v>
      </c>
      <c r="J14" s="51"/>
      <c r="K14" s="52"/>
      <c r="L14" s="16"/>
    </row>
    <row r="15" spans="1:12" ht="39.950000000000003" customHeight="1" x14ac:dyDescent="0.3">
      <c r="A15" s="1"/>
      <c r="B15" s="14">
        <v>2</v>
      </c>
      <c r="C15" s="53"/>
      <c r="D15" s="54"/>
      <c r="E15" s="55"/>
      <c r="F15" s="15"/>
      <c r="G15" s="56"/>
      <c r="H15" s="57"/>
      <c r="I15" s="50"/>
      <c r="J15" s="51"/>
      <c r="K15" s="52"/>
      <c r="L15" s="17"/>
    </row>
    <row r="16" spans="1:12" ht="39.950000000000003" customHeight="1" x14ac:dyDescent="0.3">
      <c r="A16" s="1"/>
      <c r="B16" s="14">
        <v>3</v>
      </c>
      <c r="C16" s="58"/>
      <c r="D16" s="59"/>
      <c r="E16" s="60"/>
      <c r="F16" s="15"/>
      <c r="G16" s="61"/>
      <c r="H16" s="61"/>
      <c r="I16" s="50"/>
      <c r="J16" s="51"/>
      <c r="K16" s="52"/>
      <c r="L16" s="17"/>
    </row>
    <row r="17" spans="1:12" ht="39.950000000000003" customHeight="1" x14ac:dyDescent="0.3">
      <c r="A17" s="1"/>
      <c r="B17" s="14">
        <v>4</v>
      </c>
      <c r="C17" s="45"/>
      <c r="D17" s="46"/>
      <c r="E17" s="47"/>
      <c r="F17" s="15"/>
      <c r="G17" s="48"/>
      <c r="H17" s="49"/>
      <c r="I17" s="50"/>
      <c r="J17" s="51"/>
      <c r="K17" s="52"/>
      <c r="L17" s="17"/>
    </row>
    <row r="18" spans="1:12" ht="39.950000000000003" customHeight="1" x14ac:dyDescent="0.3">
      <c r="A18" s="1"/>
      <c r="B18" s="14">
        <v>5</v>
      </c>
      <c r="C18" s="62"/>
      <c r="D18" s="63"/>
      <c r="E18" s="64"/>
      <c r="F18" s="15"/>
      <c r="G18" s="61"/>
      <c r="H18" s="61"/>
      <c r="I18" s="50"/>
      <c r="J18" s="51"/>
      <c r="K18" s="52"/>
      <c r="L18" s="17"/>
    </row>
    <row r="19" spans="1:12" ht="39.950000000000003" customHeight="1" x14ac:dyDescent="0.3">
      <c r="A19" s="1"/>
      <c r="B19" s="14">
        <v>6</v>
      </c>
      <c r="C19" s="58"/>
      <c r="D19" s="59"/>
      <c r="E19" s="60"/>
      <c r="F19" s="15"/>
      <c r="G19" s="61"/>
      <c r="H19" s="61"/>
      <c r="I19" s="50"/>
      <c r="J19" s="51"/>
      <c r="K19" s="52"/>
    </row>
    <row r="20" spans="1:12" ht="39.950000000000003" customHeight="1" x14ac:dyDescent="0.3">
      <c r="A20" s="1"/>
      <c r="B20" s="14">
        <v>7</v>
      </c>
      <c r="C20" s="65"/>
      <c r="D20" s="46"/>
      <c r="E20" s="47"/>
      <c r="F20" s="15"/>
      <c r="G20" s="66"/>
      <c r="H20" s="67"/>
      <c r="I20" s="50"/>
      <c r="J20" s="51"/>
      <c r="K20" s="52"/>
    </row>
    <row r="21" spans="1:12" ht="39.950000000000003" customHeight="1" x14ac:dyDescent="0.3">
      <c r="A21" s="1"/>
      <c r="B21" s="14">
        <v>8</v>
      </c>
      <c r="C21" s="68"/>
      <c r="D21" s="68"/>
      <c r="E21" s="68"/>
      <c r="F21" s="18"/>
      <c r="G21" s="69"/>
      <c r="H21" s="70"/>
      <c r="I21" s="50"/>
      <c r="J21" s="51"/>
      <c r="K21" s="52"/>
    </row>
    <row r="22" spans="1:12" ht="39.950000000000003" customHeight="1" x14ac:dyDescent="0.3">
      <c r="A22" s="1"/>
      <c r="B22" s="14">
        <v>9</v>
      </c>
      <c r="C22" s="68"/>
      <c r="D22" s="68"/>
      <c r="E22" s="68"/>
      <c r="F22" s="18"/>
      <c r="G22" s="69"/>
      <c r="H22" s="70"/>
      <c r="I22" s="50"/>
      <c r="J22" s="51"/>
      <c r="K22" s="52"/>
    </row>
    <row r="23" spans="1:12" ht="39.950000000000003" customHeight="1" x14ac:dyDescent="0.3">
      <c r="A23" s="1"/>
      <c r="B23" s="14">
        <v>10</v>
      </c>
      <c r="C23" s="68"/>
      <c r="D23" s="68"/>
      <c r="E23" s="68"/>
      <c r="F23" s="18"/>
      <c r="G23" s="69"/>
      <c r="H23" s="70"/>
      <c r="I23" s="50"/>
      <c r="J23" s="51"/>
      <c r="K23" s="52"/>
    </row>
    <row r="24" spans="1:12" ht="39.950000000000003" customHeight="1" x14ac:dyDescent="0.3">
      <c r="A24" s="1"/>
      <c r="B24" s="71" t="s">
        <v>31</v>
      </c>
      <c r="C24" s="72"/>
      <c r="D24" s="72"/>
      <c r="E24" s="72"/>
      <c r="F24" s="73"/>
      <c r="G24" s="74">
        <f>SUM(I14:K23)</f>
        <v>66000</v>
      </c>
      <c r="H24" s="74"/>
      <c r="I24" s="74"/>
      <c r="J24" s="74"/>
      <c r="K24" s="74"/>
    </row>
    <row r="25" spans="1:12" ht="8.25" customHeight="1" x14ac:dyDescent="0.3"/>
    <row r="26" spans="1:12" s="20" customFormat="1" ht="64.5" customHeight="1" x14ac:dyDescent="0.3">
      <c r="A26" s="20">
        <v>20</v>
      </c>
    </row>
  </sheetData>
  <mergeCells count="56">
    <mergeCell ref="C23:E23"/>
    <mergeCell ref="G23:H23"/>
    <mergeCell ref="I23:K23"/>
    <mergeCell ref="B24:F24"/>
    <mergeCell ref="G24:K24"/>
    <mergeCell ref="C21:E21"/>
    <mergeCell ref="G21:H21"/>
    <mergeCell ref="I21:K21"/>
    <mergeCell ref="C22:E22"/>
    <mergeCell ref="G22:H22"/>
    <mergeCell ref="I22:K22"/>
    <mergeCell ref="C19:E19"/>
    <mergeCell ref="G19:H19"/>
    <mergeCell ref="I19:K19"/>
    <mergeCell ref="C20:E20"/>
    <mergeCell ref="G20:H20"/>
    <mergeCell ref="I20:K20"/>
    <mergeCell ref="C17:E17"/>
    <mergeCell ref="G17:H17"/>
    <mergeCell ref="I17:K17"/>
    <mergeCell ref="C18:E18"/>
    <mergeCell ref="G18:H18"/>
    <mergeCell ref="I18:K18"/>
    <mergeCell ref="C15:E15"/>
    <mergeCell ref="G15:H15"/>
    <mergeCell ref="I15:K15"/>
    <mergeCell ref="C16:E16"/>
    <mergeCell ref="G16:H16"/>
    <mergeCell ref="I16:K16"/>
    <mergeCell ref="B12:K12"/>
    <mergeCell ref="C13:E13"/>
    <mergeCell ref="G13:H13"/>
    <mergeCell ref="I13:K13"/>
    <mergeCell ref="C14:E14"/>
    <mergeCell ref="G14:H14"/>
    <mergeCell ref="I14:K14"/>
    <mergeCell ref="B8:C8"/>
    <mergeCell ref="D8:E8"/>
    <mergeCell ref="H8:I8"/>
    <mergeCell ref="B10:C10"/>
    <mergeCell ref="D10:E10"/>
    <mergeCell ref="F10:H10"/>
    <mergeCell ref="I10:K10"/>
    <mergeCell ref="B6:C6"/>
    <mergeCell ref="D6:E6"/>
    <mergeCell ref="G6:G7"/>
    <mergeCell ref="H6:K7"/>
    <mergeCell ref="B7:C7"/>
    <mergeCell ref="D7:E7"/>
    <mergeCell ref="B5:C5"/>
    <mergeCell ref="D5:E5"/>
    <mergeCell ref="A1:K1"/>
    <mergeCell ref="B3:E3"/>
    <mergeCell ref="B4:C4"/>
    <mergeCell ref="D4:E4"/>
    <mergeCell ref="H4:K4"/>
  </mergeCells>
  <phoneticPr fontId="3" type="noConversion"/>
  <hyperlinks>
    <hyperlink ref="L7" r:id="rId1" display="well8636@korea.kr" xr:uid="{F1780733-C507-4A4D-B2DF-A710E09AB9B8}"/>
  </hyperlink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9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Main_Sheet</vt:lpstr>
      <vt:lpstr>Main_Sheet!Print_Area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김홍경</cp:lastModifiedBy>
  <cp:lastPrinted>2026-07-06T02:03:01Z</cp:lastPrinted>
  <dcterms:created xsi:type="dcterms:W3CDTF">2025-01-02T07:35:35Z</dcterms:created>
  <dcterms:modified xsi:type="dcterms:W3CDTF">2026-08-04T07:10:11Z</dcterms:modified>
</cp:coreProperties>
</file>